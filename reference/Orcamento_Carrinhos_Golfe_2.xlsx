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ton\Downloads\"/>
    </mc:Choice>
  </mc:AlternateContent>
  <xr:revisionPtr revIDLastSave="0" documentId="13_ncr:1_{B5F54E9A-DFF1-4887-BF00-F2D1A8278EC1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Cálculo Interno" sheetId="1" r:id="rId1"/>
    <sheet name="Orçamento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8" i="1" l="1"/>
  <c r="H19" i="1" s="1"/>
  <c r="E18" i="1"/>
  <c r="F18" i="1" s="1"/>
  <c r="H17" i="1"/>
  <c r="E17" i="1"/>
  <c r="F17" i="1" s="1"/>
  <c r="H16" i="1"/>
  <c r="H15" i="1"/>
  <c r="B7" i="1"/>
  <c r="G18" i="1" l="1"/>
  <c r="I18" i="1" s="1"/>
  <c r="J18" i="1" s="1"/>
  <c r="G17" i="1"/>
  <c r="I17" i="1" s="1"/>
  <c r="J17" i="1" s="1"/>
  <c r="E16" i="1"/>
  <c r="F16" i="1" s="1"/>
  <c r="E15" i="1"/>
  <c r="F15" i="1" s="1"/>
  <c r="D16" i="2" l="1"/>
  <c r="E16" i="2" s="1"/>
  <c r="K18" i="1"/>
  <c r="D15" i="2"/>
  <c r="E15" i="2" s="1"/>
  <c r="K17" i="1"/>
  <c r="G16" i="1"/>
  <c r="I16" i="1"/>
  <c r="J16" i="1" s="1"/>
  <c r="G15" i="1"/>
  <c r="G19" i="1" s="1"/>
  <c r="I15" i="1"/>
  <c r="F19" i="1"/>
  <c r="K16" i="1" l="1"/>
  <c r="D14" i="2"/>
  <c r="E14" i="2" s="1"/>
  <c r="J15" i="1"/>
  <c r="I19" i="1"/>
  <c r="J21" i="1" s="1"/>
  <c r="K15" i="1" l="1"/>
  <c r="K19" i="1" s="1"/>
  <c r="J19" i="1"/>
  <c r="D13" i="2"/>
  <c r="E13" i="2" s="1"/>
  <c r="E17" i="2" s="1"/>
  <c r="J25" i="1" l="1"/>
  <c r="J22" i="1"/>
  <c r="J23" i="1"/>
  <c r="J24" i="1"/>
  <c r="E18" i="2"/>
  <c r="E19" i="2"/>
</calcChain>
</file>

<file path=xl/sharedStrings.xml><?xml version="1.0" encoding="utf-8"?>
<sst xmlns="http://schemas.openxmlformats.org/spreadsheetml/2006/main" count="71" uniqueCount="68">
  <si>
    <t>CÁLCULO DE CUSTO E MARGEM — USO INTERNO</t>
  </si>
  <si>
    <t>DOCUMENTO INTERNO — NÃO ENVIAR AO CLIENTE</t>
  </si>
  <si>
    <t>Pressupostos (valores editáveis a azul)</t>
  </si>
  <si>
    <t>Custo de transporte CIF total (€)</t>
  </si>
  <si>
    <t>N.º de carrinhos</t>
  </si>
  <si>
    <t>Transporte por carrinho (€)</t>
  </si>
  <si>
    <t>Taxa de direitos aduaneiros</t>
  </si>
  <si>
    <t>Desalfandegamento por unidade (€)</t>
  </si>
  <si>
    <t>Margem (markup sobre o custo)</t>
  </si>
  <si>
    <t>Taxa de IVA</t>
  </si>
  <si>
    <t>Modelo</t>
  </si>
  <si>
    <t>Mercadoria (€)</t>
  </si>
  <si>
    <t>Extra (descrição)</t>
  </si>
  <si>
    <t>Preço extra (€)</t>
  </si>
  <si>
    <t>Transporte/un (€)</t>
  </si>
  <si>
    <t>Valor CIF (€)</t>
  </si>
  <si>
    <t>Direitos 12,3% (€)</t>
  </si>
  <si>
    <t>Desalfand. (€)</t>
  </si>
  <si>
    <t>Custo total (€)</t>
  </si>
  <si>
    <t>Preço venda s/IVA (€)</t>
  </si>
  <si>
    <t>Preço venda c/IVA (€)</t>
  </si>
  <si>
    <t>VY-A2</t>
  </si>
  <si>
    <t>Caixa de carga fechada c/ elevação hidráulica</t>
  </si>
  <si>
    <t>VY-A2+2</t>
  </si>
  <si>
    <t>Caixa isotérmica com suporte</t>
  </si>
  <si>
    <t>VY-L4</t>
  </si>
  <si>
    <t>—</t>
  </si>
  <si>
    <t>VY-A6</t>
  </si>
  <si>
    <t>TOTAL</t>
  </si>
  <si>
    <t>Custo total (4 carrinhos)</t>
  </si>
  <si>
    <t>Preço de venda s/ IVA</t>
  </si>
  <si>
    <t>IVA (23%)</t>
  </si>
  <si>
    <t>Preço de venda c/ IVA</t>
  </si>
  <si>
    <t>Lucro bruto (margem)</t>
  </si>
  <si>
    <t>Nota: o PDF do fornecedor inclui um desconto de 192 € no total, NÃO aplicado neste cálculo. Para o distribuir pelos carrinhos, reduzir proporcionalmente o valor da mercadoria ou o transporte total.</t>
  </si>
  <si>
    <t>CREDIBLE LEGION UNIPESSOAL LDA</t>
  </si>
  <si>
    <t>ORÇAMENTO</t>
  </si>
  <si>
    <t>NIPC 519 512 561  ·  Sociedade por Quotas</t>
  </si>
  <si>
    <t>Rua François Guichard, n.º 128 B, 5 E · 4100-012 Porto</t>
  </si>
  <si>
    <t>Para (Cliente)</t>
  </si>
  <si>
    <t>Detalhes</t>
  </si>
  <si>
    <t>N.º de orçamento</t>
  </si>
  <si>
    <t>[ORC-2026-001]</t>
  </si>
  <si>
    <t>Data</t>
  </si>
  <si>
    <t>04/07/2026</t>
  </si>
  <si>
    <t>Validade</t>
  </si>
  <si>
    <t>30 dias</t>
  </si>
  <si>
    <t>Condições</t>
  </si>
  <si>
    <t>CIF Porto</t>
  </si>
  <si>
    <t>N.º</t>
  </si>
  <si>
    <t>Descrição</t>
  </si>
  <si>
    <t>Qtd</t>
  </si>
  <si>
    <t>Preço unit. s/IVA</t>
  </si>
  <si>
    <t>Total s/IVA</t>
  </si>
  <si>
    <t>Carrinho de golfe elétrico VY-A2 — 2 lugares, motor 3,5 kW, bateria de lítio 48V/150A, pneus 10'' relva, para-brisas standard. Inclui caixa de carga fechada (1650×1160×280 mm) com elevação hidráulica.</t>
  </si>
  <si>
    <t>Carrinho de golfe elétrico VY-A2+2 — 4 lugares, motor 4 kW, bateria de lítio 48V/150A, pneus 10'' relva, para-brisas standard. Inclui caixa isotérmica com suporte.</t>
  </si>
  <si>
    <t>Carrinho de golfe elétrico VY-A6 — 6 lugares, motor 4 kW, bateria de lítio 48V/150A, pneus 10'' relva, para-brisas standard.</t>
  </si>
  <si>
    <t>Subtotal s/ IVA</t>
  </si>
  <si>
    <t>TOTAL c/ IVA</t>
  </si>
  <si>
    <t>· Preços em euros. Mercadoria entregue CIF Porto (Cost, Insurance &amp; Freight).</t>
  </si>
  <si>
    <t>· Prazo de entrega: cerca de 20 dias úteis após confirmação e pagamento.</t>
  </si>
  <si>
    <t>· Pagamento: a acordar. Validade do orçamento: 30 dias a partir da data indicada.</t>
  </si>
  <si>
    <t>· Valores acrescidos de IVA à taxa legal em vigor (23%).</t>
  </si>
  <si>
    <t>Gerência: Catarina Pinto de Azevedo</t>
  </si>
  <si>
    <t>Carrinho de golfe elétrico VY-L4 — 2 lugares, motor 4 kW, bateria de lítio 60V/150A, pneus 12'' relva, com câmara frigorífica.</t>
  </si>
  <si>
    <t>Pauliana - Restauração Lda</t>
  </si>
  <si>
    <t xml:space="preserve">Rua da Fábrica, Loja 1 </t>
  </si>
  <si>
    <t>4490-000 Póvoa de Varzim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</si>
</sst>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€&quot;"/>
    <numFmt numFmtId="165" formatCode="0.0%"/>
  </numFmts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C00000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16"/>
      <color rgb="FF1F3864"/>
      <name val="Arial"/>
      <charset val="1"/>
    </font>
    <font>
      <b/>
      <sz val="22"/>
      <color rgb="FF2E5496"/>
      <name val="Arial"/>
      <charset val="1"/>
    </font>
    <font>
      <sz val="10"/>
      <color rgb="FF008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D9E1F2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7" fillId="2" borderId="1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showGridLines="0" topLeftCell="A4" zoomScaleNormal="100" workbookViewId="0">
      <selection sqref="A1:K1"/>
    </sheetView>
  </sheetViews>
  <sheetFormatPr defaultColWidth="8.6640625" defaultRowHeight="14.4" x14ac:dyDescent="0.3"/>
  <cols>
    <col min="1" max="1" width="26" customWidth="1"/>
    <col min="2" max="2" width="14" customWidth="1"/>
    <col min="3" max="3" width="30" customWidth="1"/>
    <col min="4" max="4" width="12" customWidth="1"/>
    <col min="5" max="9" width="14" customWidth="1"/>
    <col min="10" max="11" width="16" customWidth="1"/>
  </cols>
  <sheetData>
    <row r="1" spans="1:11" ht="24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4" spans="1:11" x14ac:dyDescent="0.3">
      <c r="A4" s="11" t="s">
        <v>2</v>
      </c>
      <c r="B4" s="11"/>
      <c r="C4" s="11"/>
    </row>
    <row r="5" spans="1:11" x14ac:dyDescent="0.3">
      <c r="A5" s="14" t="s">
        <v>3</v>
      </c>
      <c r="B5" s="15">
        <v>5730</v>
      </c>
    </row>
    <row r="6" spans="1:11" x14ac:dyDescent="0.3">
      <c r="A6" s="14" t="s">
        <v>4</v>
      </c>
      <c r="B6" s="16">
        <v>4</v>
      </c>
    </row>
    <row r="7" spans="1:11" x14ac:dyDescent="0.3">
      <c r="A7" s="14" t="s">
        <v>5</v>
      </c>
      <c r="B7" s="17">
        <f>B5/B6</f>
        <v>1432.5</v>
      </c>
    </row>
    <row r="8" spans="1:11" x14ac:dyDescent="0.3">
      <c r="A8" s="14" t="s">
        <v>6</v>
      </c>
      <c r="B8" s="18">
        <v>0.123</v>
      </c>
    </row>
    <row r="9" spans="1:11" x14ac:dyDescent="0.3">
      <c r="A9" s="14" t="s">
        <v>7</v>
      </c>
      <c r="B9" s="15">
        <v>150</v>
      </c>
    </row>
    <row r="10" spans="1:11" x14ac:dyDescent="0.3">
      <c r="A10" s="14" t="s">
        <v>8</v>
      </c>
      <c r="B10" s="18">
        <v>1</v>
      </c>
    </row>
    <row r="11" spans="1:11" x14ac:dyDescent="0.3">
      <c r="A11" s="14" t="s">
        <v>9</v>
      </c>
      <c r="B11" s="18">
        <v>0.23</v>
      </c>
    </row>
    <row r="14" spans="1:11" ht="30" customHeight="1" x14ac:dyDescent="0.3">
      <c r="A14" s="19" t="s">
        <v>10</v>
      </c>
      <c r="B14" s="19" t="s">
        <v>11</v>
      </c>
      <c r="C14" s="19" t="s">
        <v>12</v>
      </c>
      <c r="D14" s="19" t="s">
        <v>13</v>
      </c>
      <c r="E14" s="19" t="s">
        <v>14</v>
      </c>
      <c r="F14" s="19" t="s">
        <v>15</v>
      </c>
      <c r="G14" s="19" t="s">
        <v>16</v>
      </c>
      <c r="H14" s="19" t="s">
        <v>17</v>
      </c>
      <c r="I14" s="19" t="s">
        <v>18</v>
      </c>
      <c r="J14" s="19" t="s">
        <v>19</v>
      </c>
      <c r="K14" s="19" t="s">
        <v>20</v>
      </c>
    </row>
    <row r="15" spans="1:11" ht="26.4" x14ac:dyDescent="0.3">
      <c r="A15" s="20" t="s">
        <v>21</v>
      </c>
      <c r="B15" s="15">
        <v>2452</v>
      </c>
      <c r="C15" s="21" t="s">
        <v>22</v>
      </c>
      <c r="D15" s="15">
        <v>482</v>
      </c>
      <c r="E15" s="22">
        <f>$B$7</f>
        <v>1432.5</v>
      </c>
      <c r="F15" s="22">
        <f>B15+D15+E15</f>
        <v>4366.5</v>
      </c>
      <c r="G15" s="22">
        <f>ROUND(F15*$B$8,2)</f>
        <v>537.08000000000004</v>
      </c>
      <c r="H15" s="22">
        <f>$B$9</f>
        <v>150</v>
      </c>
      <c r="I15" s="22">
        <f>F15+G15+H15</f>
        <v>5053.58</v>
      </c>
      <c r="J15" s="23">
        <f>ROUND(I15*(1+$B$10),2)</f>
        <v>10107.16</v>
      </c>
      <c r="K15" s="23">
        <f>ROUND(J15*(1+$B$11),2)</f>
        <v>12431.81</v>
      </c>
    </row>
    <row r="16" spans="1:11" x14ac:dyDescent="0.3">
      <c r="A16" s="20" t="s">
        <v>23</v>
      </c>
      <c r="B16" s="15">
        <v>2561</v>
      </c>
      <c r="C16" s="21" t="s">
        <v>24</v>
      </c>
      <c r="D16" s="15">
        <v>85</v>
      </c>
      <c r="E16" s="22">
        <f>$B$7</f>
        <v>1432.5</v>
      </c>
      <c r="F16" s="22">
        <f>B16+D16+E16</f>
        <v>4078.5</v>
      </c>
      <c r="G16" s="22">
        <f>ROUND(F16*$B$8,2)</f>
        <v>501.66</v>
      </c>
      <c r="H16" s="22">
        <f>$B$9</f>
        <v>150</v>
      </c>
      <c r="I16" s="22">
        <f>F16+G16+H16</f>
        <v>4730.16</v>
      </c>
      <c r="J16" s="23">
        <f>ROUND(I16*(1+$B$10),2)</f>
        <v>9460.32</v>
      </c>
      <c r="K16" s="23">
        <f>ROUND(J16*(1+$B$11),2)</f>
        <v>11636.19</v>
      </c>
    </row>
    <row r="17" spans="1:11" x14ac:dyDescent="0.3">
      <c r="A17" s="20" t="s">
        <v>25</v>
      </c>
      <c r="B17" s="15">
        <v>2860</v>
      </c>
      <c r="C17" s="21" t="s">
        <v>26</v>
      </c>
      <c r="D17" s="15">
        <v>0</v>
      </c>
      <c r="E17" s="22">
        <f>$B$7</f>
        <v>1432.5</v>
      </c>
      <c r="F17" s="22">
        <f>B17+D17+E17</f>
        <v>4292.5</v>
      </c>
      <c r="G17" s="22">
        <f>ROUND(F17*$B$8,2)</f>
        <v>527.98</v>
      </c>
      <c r="H17" s="22">
        <f>$B$9</f>
        <v>150</v>
      </c>
      <c r="I17" s="22">
        <f>F17+G17+H17</f>
        <v>4970.4799999999996</v>
      </c>
      <c r="J17" s="23">
        <f>ROUND(I17*(1+$B$10),2)</f>
        <v>9940.9599999999991</v>
      </c>
      <c r="K17" s="23">
        <f>ROUND(J17*(1+$B$11),2)</f>
        <v>12227.38</v>
      </c>
    </row>
    <row r="18" spans="1:11" x14ac:dyDescent="0.3">
      <c r="A18" s="20" t="s">
        <v>27</v>
      </c>
      <c r="B18" s="15">
        <v>2732</v>
      </c>
      <c r="C18" s="21" t="s">
        <v>26</v>
      </c>
      <c r="D18" s="15">
        <v>0</v>
      </c>
      <c r="E18" s="22">
        <f>$B$7</f>
        <v>1432.5</v>
      </c>
      <c r="F18" s="22">
        <f>B18+D18+E18</f>
        <v>4164.5</v>
      </c>
      <c r="G18" s="22">
        <f>ROUND(F18*$B$8,2)</f>
        <v>512.23</v>
      </c>
      <c r="H18" s="22">
        <f>$B$9</f>
        <v>150</v>
      </c>
      <c r="I18" s="22">
        <f>F18+G18+H18</f>
        <v>4826.7299999999996</v>
      </c>
      <c r="J18" s="23">
        <f>ROUND(I18*(1+$B$10),2)</f>
        <v>9653.4599999999991</v>
      </c>
      <c r="K18" s="23">
        <f>ROUND(J18*(1+$B$11),2)</f>
        <v>11873.76</v>
      </c>
    </row>
    <row r="19" spans="1:11" x14ac:dyDescent="0.3">
      <c r="A19" s="24" t="s">
        <v>28</v>
      </c>
      <c r="B19" s="25"/>
      <c r="C19" s="25"/>
      <c r="D19" s="25"/>
      <c r="E19" s="25"/>
      <c r="F19" s="26">
        <f t="shared" ref="F19:K19" si="0">SUM(F15:F18)</f>
        <v>16902</v>
      </c>
      <c r="G19" s="26">
        <f t="shared" si="0"/>
        <v>2078.9499999999998</v>
      </c>
      <c r="H19" s="26">
        <f t="shared" si="0"/>
        <v>600</v>
      </c>
      <c r="I19" s="26">
        <f t="shared" si="0"/>
        <v>19580.949999999997</v>
      </c>
      <c r="J19" s="26">
        <f t="shared" si="0"/>
        <v>39161.899999999994</v>
      </c>
      <c r="K19" s="26">
        <f t="shared" si="0"/>
        <v>48169.14</v>
      </c>
    </row>
    <row r="21" spans="1:11" x14ac:dyDescent="0.3">
      <c r="H21" s="10" t="s">
        <v>29</v>
      </c>
      <c r="I21" s="10"/>
      <c r="J21" s="23">
        <f>I19</f>
        <v>19580.949999999997</v>
      </c>
    </row>
    <row r="22" spans="1:11" x14ac:dyDescent="0.3">
      <c r="H22" s="10" t="s">
        <v>30</v>
      </c>
      <c r="I22" s="10"/>
      <c r="J22" s="23">
        <f>J19</f>
        <v>39161.899999999994</v>
      </c>
    </row>
    <row r="23" spans="1:11" x14ac:dyDescent="0.3">
      <c r="H23" s="10" t="s">
        <v>31</v>
      </c>
      <c r="I23" s="10"/>
      <c r="J23" s="23">
        <f>ROUND(J19*$B$11,2)</f>
        <v>9007.24</v>
      </c>
    </row>
    <row r="24" spans="1:11" x14ac:dyDescent="0.3">
      <c r="H24" s="10" t="s">
        <v>32</v>
      </c>
      <c r="I24" s="10"/>
      <c r="J24" s="23">
        <f>J19+J23</f>
        <v>48169.139999999992</v>
      </c>
    </row>
    <row r="25" spans="1:11" x14ac:dyDescent="0.3">
      <c r="H25" s="10" t="s">
        <v>33</v>
      </c>
      <c r="I25" s="10"/>
      <c r="J25" s="23">
        <f>J19-I19</f>
        <v>19580.949999999997</v>
      </c>
    </row>
    <row r="28" spans="1:11" ht="30" customHeight="1" x14ac:dyDescent="0.3">
      <c r="A28" s="9" t="s">
        <v>34</v>
      </c>
      <c r="B28" s="9"/>
      <c r="C28" s="9"/>
      <c r="D28" s="9"/>
      <c r="E28" s="9"/>
      <c r="F28" s="9"/>
      <c r="G28" s="9"/>
      <c r="H28" s="9"/>
      <c r="I28" s="9"/>
      <c r="J28" s="9"/>
      <c r="K28" s="9"/>
    </row>
  </sheetData>
  <mergeCells count="9">
    <mergeCell ref="H23:I23"/>
    <mergeCell ref="H24:I24"/>
    <mergeCell ref="H25:I25"/>
    <mergeCell ref="A28:K28"/>
    <mergeCell ref="A1:K1"/>
    <mergeCell ref="A2:K2"/>
    <mergeCell ref="A4:C4"/>
    <mergeCell ref="H21:I21"/>
    <mergeCell ref="H22:I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showGridLines="0" tabSelected="1" zoomScaleNormal="100" workbookViewId="0">
      <selection activeCell="H12" sqref="H12"/>
    </sheetView>
  </sheetViews>
  <sheetFormatPr defaultColWidth="8.6640625" defaultRowHeight="14.4" x14ac:dyDescent="0.3"/>
  <cols>
    <col min="1" max="1" width="6" customWidth="1"/>
    <col min="2" max="2" width="46" customWidth="1"/>
    <col min="3" max="3" width="8" customWidth="1"/>
    <col min="4" max="5" width="18" customWidth="1"/>
  </cols>
  <sheetData>
    <row r="1" spans="1:5" ht="30" customHeight="1" x14ac:dyDescent="0.3">
      <c r="A1" s="8" t="s">
        <v>35</v>
      </c>
      <c r="B1" s="8"/>
      <c r="C1" s="8"/>
      <c r="D1" s="7" t="s">
        <v>36</v>
      </c>
      <c r="E1" s="7"/>
    </row>
    <row r="2" spans="1:5" x14ac:dyDescent="0.3">
      <c r="A2" s="6" t="s">
        <v>37</v>
      </c>
      <c r="B2" s="6"/>
      <c r="C2" s="6"/>
      <c r="D2" s="7"/>
      <c r="E2" s="7"/>
    </row>
    <row r="3" spans="1:5" x14ac:dyDescent="0.3">
      <c r="A3" s="6" t="s">
        <v>38</v>
      </c>
      <c r="B3" s="6"/>
      <c r="C3" s="6"/>
      <c r="D3" s="7"/>
      <c r="E3" s="7"/>
    </row>
    <row r="4" spans="1:5" x14ac:dyDescent="0.3">
      <c r="A4" s="6" t="s">
        <v>63</v>
      </c>
      <c r="B4" s="6"/>
      <c r="C4" s="6"/>
      <c r="D4" s="7"/>
      <c r="E4" s="7"/>
    </row>
    <row r="6" spans="1:5" x14ac:dyDescent="0.3">
      <c r="A6" s="5" t="s">
        <v>39</v>
      </c>
      <c r="B6" s="5"/>
      <c r="D6" s="5" t="s">
        <v>40</v>
      </c>
      <c r="E6" s="5"/>
    </row>
    <row r="7" spans="1:5" x14ac:dyDescent="0.3">
      <c r="A7" s="4" t="s">
        <v>65</v>
      </c>
      <c r="B7" s="4"/>
      <c r="D7" s="20" t="s">
        <v>41</v>
      </c>
      <c r="E7" s="27" t="s">
        <v>42</v>
      </c>
    </row>
    <row r="8" spans="1:5" x14ac:dyDescent="0.3">
      <c r="A8" s="3">
        <v>505455633</v>
      </c>
      <c r="B8" s="3"/>
      <c r="D8" s="20" t="s">
        <v>43</v>
      </c>
      <c r="E8" s="27" t="s">
        <v>44</v>
      </c>
    </row>
    <row r="9" spans="1:5" x14ac:dyDescent="0.3">
      <c r="A9" s="3" t="s">
        <v>66</v>
      </c>
      <c r="B9" s="3"/>
      <c r="D9" s="20" t="s">
        <v>45</v>
      </c>
      <c r="E9" s="27" t="s">
        <v>46</v>
      </c>
    </row>
    <row r="10" spans="1:5" x14ac:dyDescent="0.3">
      <c r="A10" s="3" t="s">
        <v>67</v>
      </c>
      <c r="B10" s="3"/>
      <c r="D10" s="20" t="s">
        <v>47</v>
      </c>
      <c r="E10" s="27" t="s">
        <v>48</v>
      </c>
    </row>
    <row r="12" spans="1:5" ht="24" customHeight="1" x14ac:dyDescent="0.3">
      <c r="A12" s="28" t="s">
        <v>49</v>
      </c>
      <c r="B12" s="28" t="s">
        <v>50</v>
      </c>
      <c r="C12" s="28" t="s">
        <v>51</v>
      </c>
      <c r="D12" s="28" t="s">
        <v>52</v>
      </c>
      <c r="E12" s="28" t="s">
        <v>53</v>
      </c>
    </row>
    <row r="13" spans="1:5" ht="60" customHeight="1" x14ac:dyDescent="0.3">
      <c r="A13" s="29">
        <v>1</v>
      </c>
      <c r="B13" s="21" t="s">
        <v>54</v>
      </c>
      <c r="C13" s="29">
        <v>1</v>
      </c>
      <c r="D13" s="30">
        <f>'Cálculo Interno'!J15</f>
        <v>10107.16</v>
      </c>
      <c r="E13" s="22">
        <f>C13*D13</f>
        <v>10107.16</v>
      </c>
    </row>
    <row r="14" spans="1:5" ht="60" customHeight="1" x14ac:dyDescent="0.3">
      <c r="A14" s="29">
        <v>2</v>
      </c>
      <c r="B14" s="21" t="s">
        <v>55</v>
      </c>
      <c r="C14" s="29">
        <v>1</v>
      </c>
      <c r="D14" s="30">
        <f>'Cálculo Interno'!J16</f>
        <v>9460.32</v>
      </c>
      <c r="E14" s="22">
        <f>C14*D14</f>
        <v>9460.32</v>
      </c>
    </row>
    <row r="15" spans="1:5" ht="60" customHeight="1" x14ac:dyDescent="0.3">
      <c r="A15" s="29">
        <v>3</v>
      </c>
      <c r="B15" s="21" t="s">
        <v>64</v>
      </c>
      <c r="C15" s="29">
        <v>1</v>
      </c>
      <c r="D15" s="30">
        <f>'Cálculo Interno'!J17</f>
        <v>9940.9599999999991</v>
      </c>
      <c r="E15" s="22">
        <f>C15*D15</f>
        <v>9940.9599999999991</v>
      </c>
    </row>
    <row r="16" spans="1:5" ht="60" customHeight="1" x14ac:dyDescent="0.3">
      <c r="A16" s="29">
        <v>4</v>
      </c>
      <c r="B16" s="21" t="s">
        <v>56</v>
      </c>
      <c r="C16" s="29">
        <v>1</v>
      </c>
      <c r="D16" s="30">
        <f>'Cálculo Interno'!J18</f>
        <v>9653.4599999999991</v>
      </c>
      <c r="E16" s="22">
        <f>C16*D16</f>
        <v>9653.4599999999991</v>
      </c>
    </row>
    <row r="17" spans="1:5" x14ac:dyDescent="0.3">
      <c r="A17" s="2" t="s">
        <v>57</v>
      </c>
      <c r="B17" s="2"/>
      <c r="C17" s="2"/>
      <c r="D17" s="2"/>
      <c r="E17" s="23">
        <f>SUM(E13:E16)</f>
        <v>39161.899999999994</v>
      </c>
    </row>
    <row r="18" spans="1:5" x14ac:dyDescent="0.3">
      <c r="A18" s="2" t="s">
        <v>31</v>
      </c>
      <c r="B18" s="2"/>
      <c r="C18" s="2"/>
      <c r="D18" s="2"/>
      <c r="E18" s="23">
        <f>ROUND(E17*'Cálculo Interno'!$B$11,2)</f>
        <v>9007.24</v>
      </c>
    </row>
    <row r="19" spans="1:5" ht="21.75" customHeight="1" x14ac:dyDescent="0.3">
      <c r="A19" s="1" t="s">
        <v>58</v>
      </c>
      <c r="B19" s="1"/>
      <c r="C19" s="1"/>
      <c r="D19" s="1"/>
      <c r="E19" s="26">
        <f>E17+E18</f>
        <v>48169.139999999992</v>
      </c>
    </row>
    <row r="21" spans="1:5" x14ac:dyDescent="0.3">
      <c r="A21" s="5" t="s">
        <v>47</v>
      </c>
      <c r="B21" s="5"/>
      <c r="C21" s="5"/>
      <c r="D21" s="5"/>
      <c r="E21" s="5"/>
    </row>
    <row r="22" spans="1:5" ht="15" customHeight="1" x14ac:dyDescent="0.3">
      <c r="A22" s="9" t="s">
        <v>59</v>
      </c>
      <c r="B22" s="9"/>
      <c r="C22" s="9"/>
      <c r="D22" s="9"/>
      <c r="E22" s="9"/>
    </row>
    <row r="23" spans="1:5" ht="15" customHeight="1" x14ac:dyDescent="0.3">
      <c r="A23" s="9" t="s">
        <v>60</v>
      </c>
      <c r="B23" s="9"/>
      <c r="C23" s="9"/>
      <c r="D23" s="9"/>
      <c r="E23" s="9"/>
    </row>
    <row r="24" spans="1:5" ht="15" customHeight="1" x14ac:dyDescent="0.3">
      <c r="A24" s="9" t="s">
        <v>61</v>
      </c>
      <c r="B24" s="9"/>
      <c r="C24" s="9"/>
      <c r="D24" s="9"/>
      <c r="E24" s="9"/>
    </row>
    <row r="25" spans="1:5" ht="15" customHeight="1" x14ac:dyDescent="0.3">
      <c r="A25" s="9" t="s">
        <v>62</v>
      </c>
      <c r="B25" s="9"/>
      <c r="C25" s="9"/>
      <c r="D25" s="9"/>
      <c r="E25" s="9"/>
    </row>
  </sheetData>
  <mergeCells count="19">
    <mergeCell ref="A22:E22"/>
    <mergeCell ref="A23:E23"/>
    <mergeCell ref="A24:E24"/>
    <mergeCell ref="A25:E25"/>
    <mergeCell ref="A10:B10"/>
    <mergeCell ref="A17:D17"/>
    <mergeCell ref="A18:D18"/>
    <mergeCell ref="A19:D19"/>
    <mergeCell ref="A21:E21"/>
    <mergeCell ref="A6:B6"/>
    <mergeCell ref="D6:E6"/>
    <mergeCell ref="A7:B7"/>
    <mergeCell ref="A8:B8"/>
    <mergeCell ref="A9:B9"/>
    <mergeCell ref="A1:C1"/>
    <mergeCell ref="D1:E4"/>
    <mergeCell ref="A2:C2"/>
    <mergeCell ref="A3:C3"/>
    <mergeCell ref="A4:C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Cálculo Interno</vt:lpstr>
      <vt:lpstr>Orçamento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Antonio Pimentel</cp:lastModifiedBy>
  <cp:revision>0</cp:revision>
  <dcterms:created xsi:type="dcterms:W3CDTF">2026-07-04T14:34:57Z</dcterms:created>
  <dcterms:modified xsi:type="dcterms:W3CDTF">2026-07-04T14:42:17Z</dcterms:modified>
  <dc:language>en-US</dc:language>
</cp:coreProperties>
</file>